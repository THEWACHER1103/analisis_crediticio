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d2\Desktop\a2\"/>
    </mc:Choice>
  </mc:AlternateContent>
  <xr:revisionPtr revIDLastSave="0" documentId="8_{DA7BE4C4-A986-424B-9F89-D4D5DB270D46}" xr6:coauthVersionLast="47" xr6:coauthVersionMax="47" xr10:uidLastSave="{00000000-0000-0000-0000-000000000000}"/>
  <bookViews>
    <workbookView xWindow="-28920" yWindow="-120" windowWidth="29040" windowHeight="15720" activeTab="1" xr2:uid="{B96D8E52-D4E6-4B77-AC00-84E8DB43E99E}"/>
  </bookViews>
  <sheets>
    <sheet name="Sheet3" sheetId="3" r:id="rId1"/>
    <sheet name="Sheet1" sheetId="4" r:id="rId2"/>
    <sheet name="Sheet2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4" l="1"/>
  <c r="U9" i="4" s="1"/>
  <c r="O10" i="4"/>
  <c r="O11" i="4"/>
  <c r="P5" i="4"/>
  <c r="A14" i="4"/>
  <c r="U10" i="4"/>
  <c r="U11" i="4"/>
  <c r="T3" i="4"/>
  <c r="T4" i="4"/>
  <c r="T5" i="4"/>
  <c r="T6" i="4"/>
  <c r="T7" i="4"/>
  <c r="T8" i="4"/>
  <c r="T9" i="4"/>
  <c r="T10" i="4"/>
  <c r="T11" i="4"/>
  <c r="T2" i="4"/>
  <c r="S11" i="4"/>
  <c r="S3" i="4"/>
  <c r="S4" i="4"/>
  <c r="S5" i="4"/>
  <c r="S6" i="4"/>
  <c r="S7" i="4"/>
  <c r="S8" i="4"/>
  <c r="S9" i="4"/>
  <c r="S10" i="4"/>
  <c r="S2" i="4"/>
  <c r="R3" i="4"/>
  <c r="R4" i="4"/>
  <c r="R5" i="4"/>
  <c r="R6" i="4"/>
  <c r="R7" i="4"/>
  <c r="R8" i="4"/>
  <c r="R9" i="4"/>
  <c r="R10" i="4"/>
  <c r="R11" i="4"/>
  <c r="R2" i="4"/>
  <c r="K3" i="4"/>
  <c r="K2" i="4"/>
  <c r="Q2" i="4"/>
  <c r="Q3" i="4"/>
  <c r="Q4" i="4"/>
  <c r="Q5" i="4"/>
  <c r="Q6" i="4"/>
  <c r="Q7" i="4"/>
  <c r="Q8" i="4"/>
  <c r="Q9" i="4"/>
  <c r="Q10" i="4"/>
  <c r="Q11" i="4"/>
  <c r="P3" i="4"/>
  <c r="P4" i="4"/>
  <c r="P6" i="4"/>
  <c r="P7" i="4"/>
  <c r="P8" i="4"/>
  <c r="P9" i="4"/>
  <c r="P10" i="4"/>
  <c r="P11" i="4"/>
  <c r="P2" i="4"/>
  <c r="N4" i="4"/>
  <c r="N5" i="4" s="1"/>
  <c r="N6" i="4" s="1"/>
  <c r="N7" i="4" s="1"/>
  <c r="N8" i="4" s="1"/>
  <c r="N9" i="4" s="1"/>
  <c r="N10" i="4" s="1"/>
  <c r="N11" i="4" s="1"/>
  <c r="N3" i="4"/>
  <c r="N2" i="4"/>
  <c r="M3" i="4"/>
  <c r="M4" i="4"/>
  <c r="M5" i="4"/>
  <c r="M6" i="4"/>
  <c r="M7" i="4"/>
  <c r="M8" i="4"/>
  <c r="M9" i="4"/>
  <c r="M10" i="4"/>
  <c r="M11" i="4"/>
  <c r="M2" i="4"/>
  <c r="K4" i="4"/>
  <c r="K5" i="4" s="1"/>
  <c r="K6" i="4" s="1"/>
  <c r="K7" i="4" s="1"/>
  <c r="K8" i="4" s="1"/>
  <c r="K9" i="4" s="1"/>
  <c r="K10" i="4" s="1"/>
  <c r="K11" i="4" s="1"/>
  <c r="J4" i="4"/>
  <c r="J5" i="4" s="1"/>
  <c r="J6" i="4" s="1"/>
  <c r="J7" i="4" s="1"/>
  <c r="J8" i="4" s="1"/>
  <c r="J9" i="4" s="1"/>
  <c r="J10" i="4" s="1"/>
  <c r="J11" i="4" s="1"/>
  <c r="J3" i="4"/>
  <c r="J2" i="4"/>
  <c r="G2" i="4"/>
  <c r="I3" i="4"/>
  <c r="I4" i="4"/>
  <c r="I5" i="4"/>
  <c r="I6" i="4"/>
  <c r="I7" i="4"/>
  <c r="I8" i="4"/>
  <c r="I9" i="4"/>
  <c r="I10" i="4"/>
  <c r="I11" i="4"/>
  <c r="I2" i="4"/>
  <c r="H3" i="4"/>
  <c r="H4" i="4"/>
  <c r="H5" i="4"/>
  <c r="H6" i="4"/>
  <c r="H7" i="4"/>
  <c r="H8" i="4"/>
  <c r="H9" i="4"/>
  <c r="H10" i="4"/>
  <c r="H11" i="4"/>
  <c r="H2" i="4"/>
  <c r="G4" i="4"/>
  <c r="G5" i="4" s="1"/>
  <c r="G6" i="4" s="1"/>
  <c r="G7" i="4" s="1"/>
  <c r="G8" i="4" s="1"/>
  <c r="G9" i="4" s="1"/>
  <c r="G10" i="4" s="1"/>
  <c r="G11" i="4" s="1"/>
  <c r="G3" i="4"/>
  <c r="F5" i="4"/>
  <c r="F6" i="4"/>
  <c r="F7" i="4" s="1"/>
  <c r="F8" i="4" s="1"/>
  <c r="F9" i="4" s="1"/>
  <c r="F10" i="4" s="1"/>
  <c r="F11" i="4" s="1"/>
  <c r="F4" i="4"/>
  <c r="F3" i="4"/>
  <c r="F2" i="4"/>
  <c r="E3" i="4"/>
  <c r="E4" i="4"/>
  <c r="E5" i="4"/>
  <c r="E6" i="4"/>
  <c r="E7" i="4"/>
  <c r="E8" i="4"/>
  <c r="E9" i="4"/>
  <c r="E10" i="4"/>
  <c r="E11" i="4"/>
  <c r="E2" i="4"/>
  <c r="O8" i="4" l="1"/>
  <c r="U8" i="4" l="1"/>
  <c r="O7" i="4"/>
  <c r="U7" i="4" l="1"/>
  <c r="O6" i="4"/>
  <c r="O5" i="4" l="1"/>
  <c r="U6" i="4"/>
  <c r="O4" i="4" l="1"/>
  <c r="U5" i="4"/>
  <c r="O3" i="4" l="1"/>
  <c r="U4" i="4"/>
  <c r="O2" i="4" l="1"/>
  <c r="U2" i="4" s="1"/>
  <c r="B14" i="4" s="1"/>
  <c r="C14" i="4" s="1"/>
  <c r="U3" i="4"/>
</calcChain>
</file>

<file path=xl/sharedStrings.xml><?xml version="1.0" encoding="utf-8"?>
<sst xmlns="http://schemas.openxmlformats.org/spreadsheetml/2006/main" count="90" uniqueCount="80">
  <si>
    <t>439 - 563</t>
  </si>
  <si>
    <t>563 - 590</t>
  </si>
  <si>
    <t>590 - 597</t>
  </si>
  <si>
    <t>Decil</t>
  </si>
  <si>
    <t>Rango Score</t>
  </si>
  <si>
    <t>Rango Odds Buenos</t>
  </si>
  <si>
    <t>Total Registros</t>
  </si>
  <si>
    <t>Cantidad Malos</t>
  </si>
  <si>
    <t>Probabilidad de Incumplimiento(%)</t>
  </si>
  <si>
    <t>1</t>
  </si>
  <si>
    <t>611 - 611</t>
  </si>
  <si>
    <t>36.6 - 37.8</t>
  </si>
  <si>
    <t>3000</t>
  </si>
  <si>
    <t>10</t>
  </si>
  <si>
    <t>0.33%</t>
  </si>
  <si>
    <t>2</t>
  </si>
  <si>
    <t>610 - 611</t>
  </si>
  <si>
    <t>35.4 - 37.8</t>
  </si>
  <si>
    <t>19</t>
  </si>
  <si>
    <t>0.63%</t>
  </si>
  <si>
    <t>3</t>
  </si>
  <si>
    <t>609 - 610</t>
  </si>
  <si>
    <t>34.2 - 36.6</t>
  </si>
  <si>
    <t>28</t>
  </si>
  <si>
    <t>0.93%</t>
  </si>
  <si>
    <t>4</t>
  </si>
  <si>
    <t>608 - 609</t>
  </si>
  <si>
    <t>33.1 - 35.4</t>
  </si>
  <si>
    <t>29</t>
  </si>
  <si>
    <t>0.97%</t>
  </si>
  <si>
    <t>5</t>
  </si>
  <si>
    <t>607 - 608</t>
  </si>
  <si>
    <t>31.9 - 34.2</t>
  </si>
  <si>
    <t>56</t>
  </si>
  <si>
    <t>1.87%</t>
  </si>
  <si>
    <t>6</t>
  </si>
  <si>
    <t>603 - 607</t>
  </si>
  <si>
    <t>27.7 - 33.0</t>
  </si>
  <si>
    <t>83</t>
  </si>
  <si>
    <t>2.77%</t>
  </si>
  <si>
    <t>7</t>
  </si>
  <si>
    <t>597 - 603</t>
  </si>
  <si>
    <t>22.5 - 28.7</t>
  </si>
  <si>
    <t>111</t>
  </si>
  <si>
    <t>3.70%</t>
  </si>
  <si>
    <t>8</t>
  </si>
  <si>
    <t>17.7 - 23.3</t>
  </si>
  <si>
    <t>212</t>
  </si>
  <si>
    <t>7.07%</t>
  </si>
  <si>
    <t>9</t>
  </si>
  <si>
    <t>7.0 - 18.3</t>
  </si>
  <si>
    <t>390</t>
  </si>
  <si>
    <t>13.00%</t>
  </si>
  <si>
    <t>0.1 - 7.2</t>
  </si>
  <si>
    <t>1067</t>
  </si>
  <si>
    <t>35.57%</t>
  </si>
  <si>
    <t>Deciles</t>
  </si>
  <si>
    <t> min_score</t>
  </si>
  <si>
    <t> max_score</t>
  </si>
  <si>
    <t> Total_Q</t>
  </si>
  <si>
    <t> Total_Dist</t>
  </si>
  <si>
    <t> Total_cum%</t>
  </si>
  <si>
    <t> Total_decum%</t>
  </si>
  <si>
    <t> Good_Q</t>
  </si>
  <si>
    <t> Good_Dist</t>
  </si>
  <si>
    <t> Good_cum%</t>
  </si>
  <si>
    <t> Good_decum%</t>
  </si>
  <si>
    <t> Bad_Q</t>
  </si>
  <si>
    <t> Bad_Dist</t>
  </si>
  <si>
    <t> Bad_cum%</t>
  </si>
  <si>
    <t> Bad_decum%</t>
  </si>
  <si>
    <t> Bad_Rate</t>
  </si>
  <si>
    <t> Bad_Rate_cum%</t>
  </si>
  <si>
    <t> Bad_Rate_decum%</t>
  </si>
  <si>
    <t> KS</t>
  </si>
  <si>
    <t> Odds</t>
  </si>
  <si>
    <t>ROC</t>
  </si>
  <si>
    <t>ks</t>
  </si>
  <si>
    <t>AUC ROC</t>
  </si>
  <si>
    <t>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</si>
</sst>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9" fontId="0" fillId="0" borderId="0" xfId="0" applyNumberFormat="1"/>
    <xf numFmtId="2" fontId="0" fillId="0" borderId="0" xfId="0" applyNumberFormat="1"/>
    <xf numFmtId="49" fontId="1" fillId="3" borderId="1" xfId="0" applyNumberFormat="1" applyFont="1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0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1DC8-CC8D-47C8-8D17-A98D6FD17160}">
  <dimension ref="A1:F11"/>
  <sheetViews>
    <sheetView workbookViewId="0">
      <selection activeCell="E2" sqref="E2:E11"/>
    </sheetView>
  </sheetViews>
  <sheetFormatPr defaultRowHeight="14.5" x14ac:dyDescent="0.35"/>
  <cols>
    <col min="5" max="5" width="13.453125" bestFit="1" customWidth="1"/>
  </cols>
  <sheetData>
    <row r="1" spans="1:6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</row>
    <row r="3" spans="1:6" x14ac:dyDescent="0.35">
      <c r="A3" s="1" t="s">
        <v>15</v>
      </c>
      <c r="B3" s="1" t="s">
        <v>16</v>
      </c>
      <c r="C3" s="1" t="s">
        <v>17</v>
      </c>
      <c r="D3" s="1" t="s">
        <v>12</v>
      </c>
      <c r="E3" s="1" t="s">
        <v>18</v>
      </c>
      <c r="F3" s="1" t="s">
        <v>19</v>
      </c>
    </row>
    <row r="4" spans="1:6" x14ac:dyDescent="0.35">
      <c r="A4" s="1" t="s">
        <v>20</v>
      </c>
      <c r="B4" s="1" t="s">
        <v>21</v>
      </c>
      <c r="C4" s="1" t="s">
        <v>22</v>
      </c>
      <c r="D4" s="1" t="s">
        <v>12</v>
      </c>
      <c r="E4" s="1" t="s">
        <v>23</v>
      </c>
      <c r="F4" s="1" t="s">
        <v>24</v>
      </c>
    </row>
    <row r="5" spans="1:6" x14ac:dyDescent="0.35">
      <c r="A5" s="1" t="s">
        <v>25</v>
      </c>
      <c r="B5" s="1" t="s">
        <v>26</v>
      </c>
      <c r="C5" s="1" t="s">
        <v>27</v>
      </c>
      <c r="D5" s="1" t="s">
        <v>12</v>
      </c>
      <c r="E5" s="1" t="s">
        <v>28</v>
      </c>
      <c r="F5" s="1" t="s">
        <v>29</v>
      </c>
    </row>
    <row r="6" spans="1:6" x14ac:dyDescent="0.35">
      <c r="A6" s="1" t="s">
        <v>30</v>
      </c>
      <c r="B6" s="1" t="s">
        <v>31</v>
      </c>
      <c r="C6" s="1" t="s">
        <v>32</v>
      </c>
      <c r="D6" s="1" t="s">
        <v>12</v>
      </c>
      <c r="E6" s="1" t="s">
        <v>33</v>
      </c>
      <c r="F6" s="1" t="s">
        <v>34</v>
      </c>
    </row>
    <row r="7" spans="1:6" x14ac:dyDescent="0.35">
      <c r="A7" s="1" t="s">
        <v>35</v>
      </c>
      <c r="B7" s="1" t="s">
        <v>36</v>
      </c>
      <c r="C7" s="1" t="s">
        <v>37</v>
      </c>
      <c r="D7" s="1" t="s">
        <v>12</v>
      </c>
      <c r="E7" s="1" t="s">
        <v>38</v>
      </c>
      <c r="F7" s="1" t="s">
        <v>39</v>
      </c>
    </row>
    <row r="8" spans="1:6" x14ac:dyDescent="0.35">
      <c r="A8" s="1" t="s">
        <v>40</v>
      </c>
      <c r="B8" s="1" t="s">
        <v>41</v>
      </c>
      <c r="C8" s="1" t="s">
        <v>42</v>
      </c>
      <c r="D8" s="1" t="s">
        <v>12</v>
      </c>
      <c r="E8" s="1" t="s">
        <v>43</v>
      </c>
      <c r="F8" s="1" t="s">
        <v>44</v>
      </c>
    </row>
    <row r="9" spans="1:6" x14ac:dyDescent="0.35">
      <c r="A9" s="1" t="s">
        <v>45</v>
      </c>
      <c r="B9" s="1" t="s">
        <v>2</v>
      </c>
      <c r="C9" s="1" t="s">
        <v>46</v>
      </c>
      <c r="D9" s="1" t="s">
        <v>12</v>
      </c>
      <c r="E9" s="1" t="s">
        <v>47</v>
      </c>
      <c r="F9" s="1" t="s">
        <v>48</v>
      </c>
    </row>
    <row r="10" spans="1:6" x14ac:dyDescent="0.35">
      <c r="A10" s="1" t="s">
        <v>49</v>
      </c>
      <c r="B10" s="1" t="s">
        <v>1</v>
      </c>
      <c r="C10" s="1" t="s">
        <v>50</v>
      </c>
      <c r="D10" s="1" t="s">
        <v>12</v>
      </c>
      <c r="E10" s="1" t="s">
        <v>51</v>
      </c>
      <c r="F10" s="1" t="s">
        <v>52</v>
      </c>
    </row>
    <row r="11" spans="1:6" x14ac:dyDescent="0.35">
      <c r="A11" s="1" t="s">
        <v>13</v>
      </c>
      <c r="B11" s="1" t="s">
        <v>0</v>
      </c>
      <c r="C11" s="1" t="s">
        <v>53</v>
      </c>
      <c r="D11" s="1" t="s">
        <v>12</v>
      </c>
      <c r="E11" s="1" t="s">
        <v>54</v>
      </c>
      <c r="F11" s="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92D7-7D96-490A-8572-862535CF6509}">
  <dimension ref="A1:U14"/>
  <sheetViews>
    <sheetView showGridLines="0" tabSelected="1" workbookViewId="0">
      <selection activeCell="U2" sqref="U2"/>
    </sheetView>
  </sheetViews>
  <sheetFormatPr defaultRowHeight="14.5" x14ac:dyDescent="0.35"/>
  <cols>
    <col min="1" max="1" width="8.90625" bestFit="1" customWidth="1"/>
    <col min="2" max="2" width="9.7265625" bestFit="1" customWidth="1"/>
    <col min="3" max="3" width="10.08984375" bestFit="1" customWidth="1"/>
    <col min="4" max="4" width="7.36328125" bestFit="1" customWidth="1"/>
    <col min="5" max="5" width="9.90625" style="2" bestFit="1" customWidth="1"/>
    <col min="6" max="6" width="11.08984375" bestFit="1" customWidth="1"/>
    <col min="7" max="7" width="13.1796875" bestFit="1" customWidth="1"/>
    <col min="8" max="8" width="8.1796875" bestFit="1" customWidth="1"/>
    <col min="9" max="9" width="9.54296875" bestFit="1" customWidth="1"/>
    <col min="10" max="10" width="15.7265625" customWidth="1"/>
    <col min="11" max="11" width="13.453125" bestFit="1" customWidth="1"/>
    <col min="12" max="12" width="6.81640625" bestFit="1" customWidth="1"/>
    <col min="13" max="13" width="8.36328125" bestFit="1" customWidth="1"/>
    <col min="14" max="14" width="10.1796875" bestFit="1" customWidth="1"/>
    <col min="15" max="15" width="12.1796875" bestFit="1" customWidth="1"/>
    <col min="16" max="16" width="9.26953125" bestFit="1" customWidth="1"/>
    <col min="17" max="17" width="14.81640625" bestFit="1" customWidth="1"/>
    <col min="18" max="18" width="16.81640625" bestFit="1" customWidth="1"/>
    <col min="19" max="19" width="12.1796875" customWidth="1"/>
    <col min="20" max="20" width="15.453125" bestFit="1" customWidth="1"/>
    <col min="21" max="21" width="12.36328125" bestFit="1" customWidth="1"/>
  </cols>
  <sheetData>
    <row r="1" spans="1:21" x14ac:dyDescent="0.35">
      <c r="A1" s="4" t="s">
        <v>56</v>
      </c>
      <c r="B1" s="4" t="s">
        <v>57</v>
      </c>
      <c r="C1" s="4" t="s">
        <v>58</v>
      </c>
      <c r="D1" s="4" t="s">
        <v>59</v>
      </c>
      <c r="E1" s="5" t="s">
        <v>60</v>
      </c>
      <c r="F1" s="4" t="s">
        <v>61</v>
      </c>
      <c r="G1" s="4" t="s">
        <v>62</v>
      </c>
      <c r="H1" s="4" t="s">
        <v>63</v>
      </c>
      <c r="I1" s="4" t="s">
        <v>64</v>
      </c>
      <c r="J1" s="4" t="s">
        <v>65</v>
      </c>
      <c r="K1" s="4" t="s">
        <v>66</v>
      </c>
      <c r="L1" s="4" t="s">
        <v>67</v>
      </c>
      <c r="M1" s="4" t="s">
        <v>68</v>
      </c>
      <c r="N1" s="4" t="s">
        <v>69</v>
      </c>
      <c r="O1" s="4" t="s">
        <v>70</v>
      </c>
      <c r="P1" s="4" t="s">
        <v>71</v>
      </c>
      <c r="Q1" s="4" t="s">
        <v>72</v>
      </c>
      <c r="R1" s="4" t="s">
        <v>73</v>
      </c>
      <c r="S1" s="4" t="s">
        <v>74</v>
      </c>
      <c r="T1" s="4" t="s">
        <v>75</v>
      </c>
      <c r="U1" s="4" t="s">
        <v>76</v>
      </c>
    </row>
    <row r="2" spans="1:21" x14ac:dyDescent="0.35">
      <c r="A2" s="6">
        <v>10</v>
      </c>
      <c r="B2" s="6">
        <v>611</v>
      </c>
      <c r="C2" s="6">
        <v>611</v>
      </c>
      <c r="D2" s="6">
        <v>3000</v>
      </c>
      <c r="E2" s="7">
        <f>D2/SUM($D$2:$D$11)</f>
        <v>0.1</v>
      </c>
      <c r="F2" s="7">
        <f>+E2</f>
        <v>0.1</v>
      </c>
      <c r="G2" s="7">
        <f>+F11</f>
        <v>0.99999999999999989</v>
      </c>
      <c r="H2" s="6">
        <f>+D2-L2</f>
        <v>2990</v>
      </c>
      <c r="I2" s="7">
        <f>+H2/SUM($H$2:$H$11)</f>
        <v>0.10680478656903018</v>
      </c>
      <c r="J2" s="7">
        <f>+I2</f>
        <v>0.10680478656903018</v>
      </c>
      <c r="K2" s="7">
        <f>+J11</f>
        <v>1</v>
      </c>
      <c r="L2" s="6">
        <v>10</v>
      </c>
      <c r="M2" s="7">
        <f>+L2/SUM($L$2:$L$11)</f>
        <v>4.9875311720698253E-3</v>
      </c>
      <c r="N2" s="7">
        <f>+M2</f>
        <v>4.9875311720698253E-3</v>
      </c>
      <c r="O2" s="7">
        <f t="shared" ref="O2:O9" si="0">+O3+M2</f>
        <v>1</v>
      </c>
      <c r="P2" s="8">
        <f>+L2/D2</f>
        <v>3.3333333333333335E-3</v>
      </c>
      <c r="Q2" s="8">
        <f>+SUM($L$2:L2)/SUM($D$2:D2)</f>
        <v>3.3333333333333335E-3</v>
      </c>
      <c r="R2" s="8">
        <f>+SUM(L2:$L$11)/SUM(D2:$D$11)</f>
        <v>6.6833333333333328E-2</v>
      </c>
      <c r="S2" s="8">
        <f>+J2-N2</f>
        <v>0.10181725539696036</v>
      </c>
      <c r="T2" s="9">
        <f>+H2/L2</f>
        <v>299</v>
      </c>
      <c r="U2" s="9">
        <f>+I2*((O2+O3)/2)</f>
        <v>0.10653844046786054</v>
      </c>
    </row>
    <row r="3" spans="1:21" x14ac:dyDescent="0.35">
      <c r="A3" s="6">
        <v>9</v>
      </c>
      <c r="B3" s="6">
        <v>610</v>
      </c>
      <c r="C3" s="6">
        <v>611</v>
      </c>
      <c r="D3" s="6">
        <v>3000</v>
      </c>
      <c r="E3" s="7">
        <f t="shared" ref="E3:E11" si="1">D3/SUM($D$2:$D$11)</f>
        <v>0.1</v>
      </c>
      <c r="F3" s="7">
        <f>+F2+E3</f>
        <v>0.2</v>
      </c>
      <c r="G3" s="7">
        <f>+G2-E3</f>
        <v>0.89999999999999991</v>
      </c>
      <c r="H3" s="6">
        <f t="shared" ref="H3:H11" si="2">+D3-L3</f>
        <v>2981</v>
      </c>
      <c r="I3" s="7">
        <f t="shared" ref="I3:I11" si="3">+H3/SUM($H$2:$H$11)</f>
        <v>0.10648330058939097</v>
      </c>
      <c r="J3" s="7">
        <f>+J2+I3</f>
        <v>0.21328808715842115</v>
      </c>
      <c r="K3" s="7">
        <f>+K2-I3</f>
        <v>0.89351669941060907</v>
      </c>
      <c r="L3" s="6">
        <v>19</v>
      </c>
      <c r="M3" s="7">
        <f t="shared" ref="M3:M11" si="4">+L3/SUM($L$2:$L$11)</f>
        <v>9.4763092269326676E-3</v>
      </c>
      <c r="N3" s="7">
        <f>+N2+M3</f>
        <v>1.4463840399002493E-2</v>
      </c>
      <c r="O3" s="7">
        <f t="shared" si="0"/>
        <v>0.99501246882793015</v>
      </c>
      <c r="P3" s="8">
        <f t="shared" ref="P3:P11" si="5">+L3/D3</f>
        <v>6.3333333333333332E-3</v>
      </c>
      <c r="Q3" s="8">
        <f>+SUM($L$2:L3)/SUM($D$2:D3)</f>
        <v>4.8333333333333336E-3</v>
      </c>
      <c r="R3" s="8">
        <f>+SUM(L3:$L$11)/SUM(D3:$D$11)</f>
        <v>7.3888888888888893E-2</v>
      </c>
      <c r="S3" s="8">
        <f t="shared" ref="S3:S11" si="6">+J3-N3</f>
        <v>0.19882424675941865</v>
      </c>
      <c r="T3" s="9">
        <f t="shared" ref="T3:T11" si="7">+H3/L3</f>
        <v>156.89473684210526</v>
      </c>
      <c r="U3" s="9">
        <f t="shared" ref="U3:U11" si="8">+I3*((O3+O4)/2)</f>
        <v>0.10544767746645176</v>
      </c>
    </row>
    <row r="4" spans="1:21" x14ac:dyDescent="0.35">
      <c r="A4" s="6">
        <v>8</v>
      </c>
      <c r="B4" s="6">
        <v>609</v>
      </c>
      <c r="C4" s="6">
        <v>610</v>
      </c>
      <c r="D4" s="6">
        <v>3000</v>
      </c>
      <c r="E4" s="7">
        <f t="shared" si="1"/>
        <v>0.1</v>
      </c>
      <c r="F4" s="7">
        <f>+F3+E4</f>
        <v>0.30000000000000004</v>
      </c>
      <c r="G4" s="7">
        <f t="shared" ref="G4:G11" si="9">+G3-E4</f>
        <v>0.79999999999999993</v>
      </c>
      <c r="H4" s="6">
        <f t="shared" si="2"/>
        <v>2972</v>
      </c>
      <c r="I4" s="7">
        <f t="shared" si="3"/>
        <v>0.10616181460975174</v>
      </c>
      <c r="J4" s="7">
        <f t="shared" ref="J4:J11" si="10">+J3+I4</f>
        <v>0.31944990176817289</v>
      </c>
      <c r="K4" s="7">
        <f t="shared" ref="K4:K11" si="11">+K3-I4</f>
        <v>0.78735488480085736</v>
      </c>
      <c r="L4" s="6">
        <v>28</v>
      </c>
      <c r="M4" s="7">
        <f t="shared" si="4"/>
        <v>1.3965087281795512E-2</v>
      </c>
      <c r="N4" s="7">
        <f t="shared" ref="N4:N11" si="12">+N3+M4</f>
        <v>2.8428927680798004E-2</v>
      </c>
      <c r="O4" s="7">
        <f t="shared" si="0"/>
        <v>0.9855361596009975</v>
      </c>
      <c r="P4" s="8">
        <f t="shared" si="5"/>
        <v>9.3333333333333341E-3</v>
      </c>
      <c r="Q4" s="8">
        <f>+SUM($L$2:L4)/SUM($D$2:D4)</f>
        <v>6.3333333333333332E-3</v>
      </c>
      <c r="R4" s="8">
        <f>+SUM(L4:$L$11)/SUM(D4:$D$11)</f>
        <v>8.2333333333333328E-2</v>
      </c>
      <c r="S4" s="8">
        <f t="shared" si="6"/>
        <v>0.29102097408737487</v>
      </c>
      <c r="T4" s="9">
        <f t="shared" si="7"/>
        <v>106.14285714285714</v>
      </c>
      <c r="U4" s="9">
        <f t="shared" si="8"/>
        <v>0.10388502756325832</v>
      </c>
    </row>
    <row r="5" spans="1:21" x14ac:dyDescent="0.35">
      <c r="A5" s="6">
        <v>7</v>
      </c>
      <c r="B5" s="6">
        <v>608</v>
      </c>
      <c r="C5" s="6">
        <v>609</v>
      </c>
      <c r="D5" s="6">
        <v>3000</v>
      </c>
      <c r="E5" s="7">
        <f t="shared" si="1"/>
        <v>0.1</v>
      </c>
      <c r="F5" s="7">
        <f t="shared" ref="F5:F11" si="13">+F4+E5</f>
        <v>0.4</v>
      </c>
      <c r="G5" s="7">
        <f t="shared" si="9"/>
        <v>0.7</v>
      </c>
      <c r="H5" s="6">
        <f t="shared" si="2"/>
        <v>2971</v>
      </c>
      <c r="I5" s="7">
        <f t="shared" si="3"/>
        <v>0.10612609394534739</v>
      </c>
      <c r="J5" s="7">
        <f t="shared" si="10"/>
        <v>0.42557599571352028</v>
      </c>
      <c r="K5" s="7">
        <f t="shared" si="11"/>
        <v>0.68122879085550991</v>
      </c>
      <c r="L5" s="6">
        <v>29</v>
      </c>
      <c r="M5" s="7">
        <f t="shared" si="4"/>
        <v>1.4463840399002495E-2</v>
      </c>
      <c r="N5" s="7">
        <f t="shared" si="12"/>
        <v>4.2892768079800497E-2</v>
      </c>
      <c r="O5" s="7">
        <f t="shared" si="0"/>
        <v>0.97157107231920203</v>
      </c>
      <c r="P5" s="8">
        <f>+L5/D5</f>
        <v>9.6666666666666672E-3</v>
      </c>
      <c r="Q5" s="8">
        <f>+SUM($L$2:L5)/SUM($D$2:D5)</f>
        <v>7.1666666666666667E-3</v>
      </c>
      <c r="R5" s="8">
        <f>+SUM(L5:$L$11)/SUM(D5:$D$11)</f>
        <v>9.2761904761904768E-2</v>
      </c>
      <c r="S5" s="8">
        <f t="shared" si="6"/>
        <v>0.38268322763371976</v>
      </c>
      <c r="T5" s="9">
        <f t="shared" si="7"/>
        <v>102.44827586206897</v>
      </c>
      <c r="U5" s="9">
        <f t="shared" si="8"/>
        <v>0.10234154745303201</v>
      </c>
    </row>
    <row r="6" spans="1:21" x14ac:dyDescent="0.35">
      <c r="A6" s="6">
        <v>6</v>
      </c>
      <c r="B6" s="6">
        <v>607</v>
      </c>
      <c r="C6" s="6">
        <v>608</v>
      </c>
      <c r="D6" s="6">
        <v>3000</v>
      </c>
      <c r="E6" s="7">
        <f t="shared" si="1"/>
        <v>0.1</v>
      </c>
      <c r="F6" s="7">
        <f t="shared" si="13"/>
        <v>0.5</v>
      </c>
      <c r="G6" s="7">
        <f t="shared" si="9"/>
        <v>0.6</v>
      </c>
      <c r="H6" s="6">
        <f t="shared" si="2"/>
        <v>2944</v>
      </c>
      <c r="I6" s="7">
        <f t="shared" si="3"/>
        <v>0.10516163600642972</v>
      </c>
      <c r="J6" s="7">
        <f t="shared" si="10"/>
        <v>0.53073763171995003</v>
      </c>
      <c r="K6" s="7">
        <f t="shared" si="11"/>
        <v>0.57606715484908022</v>
      </c>
      <c r="L6" s="6">
        <v>56</v>
      </c>
      <c r="M6" s="7">
        <f t="shared" si="4"/>
        <v>2.7930174563591023E-2</v>
      </c>
      <c r="N6" s="7">
        <f t="shared" si="12"/>
        <v>7.082294264339152E-2</v>
      </c>
      <c r="O6" s="7">
        <f t="shared" si="0"/>
        <v>0.95710723192019953</v>
      </c>
      <c r="P6" s="8">
        <f t="shared" si="5"/>
        <v>1.8666666666666668E-2</v>
      </c>
      <c r="Q6" s="8">
        <f>+SUM($L$2:L6)/SUM($D$2:D6)</f>
        <v>9.4666666666666666E-3</v>
      </c>
      <c r="R6" s="8">
        <f>+SUM(L6:$L$11)/SUM(D6:$D$11)</f>
        <v>0.10661111111111111</v>
      </c>
      <c r="S6" s="8">
        <f t="shared" si="6"/>
        <v>0.45991468907655852</v>
      </c>
      <c r="T6" s="9">
        <f t="shared" si="7"/>
        <v>52.571428571428569</v>
      </c>
      <c r="U6" s="9">
        <f t="shared" si="8"/>
        <v>9.9182370916787346E-2</v>
      </c>
    </row>
    <row r="7" spans="1:21" x14ac:dyDescent="0.35">
      <c r="A7" s="6">
        <v>5</v>
      </c>
      <c r="B7" s="6">
        <v>603</v>
      </c>
      <c r="C7" s="6">
        <v>607</v>
      </c>
      <c r="D7" s="6">
        <v>3000</v>
      </c>
      <c r="E7" s="7">
        <f t="shared" si="1"/>
        <v>0.1</v>
      </c>
      <c r="F7" s="7">
        <f t="shared" si="13"/>
        <v>0.6</v>
      </c>
      <c r="G7" s="7">
        <f t="shared" si="9"/>
        <v>0.5</v>
      </c>
      <c r="H7" s="6">
        <f t="shared" si="2"/>
        <v>2917</v>
      </c>
      <c r="I7" s="7">
        <f t="shared" si="3"/>
        <v>0.10419717806751205</v>
      </c>
      <c r="J7" s="7">
        <f t="shared" si="10"/>
        <v>0.63493480978746208</v>
      </c>
      <c r="K7" s="7">
        <f t="shared" si="11"/>
        <v>0.47186997678156817</v>
      </c>
      <c r="L7" s="6">
        <v>83</v>
      </c>
      <c r="M7" s="7">
        <f t="shared" si="4"/>
        <v>4.139650872817955E-2</v>
      </c>
      <c r="N7" s="7">
        <f t="shared" si="12"/>
        <v>0.11221945137157108</v>
      </c>
      <c r="O7" s="7">
        <f t="shared" si="0"/>
        <v>0.92917705735660849</v>
      </c>
      <c r="P7" s="8">
        <f t="shared" si="5"/>
        <v>2.7666666666666666E-2</v>
      </c>
      <c r="Q7" s="8">
        <f>+SUM($L$2:L7)/SUM($D$2:D7)</f>
        <v>1.2500000000000001E-2</v>
      </c>
      <c r="R7" s="8">
        <f>+SUM(L7:$L$11)/SUM(D7:$D$11)</f>
        <v>0.1242</v>
      </c>
      <c r="S7" s="8">
        <f t="shared" si="6"/>
        <v>0.52271535841589101</v>
      </c>
      <c r="T7" s="9">
        <f t="shared" si="7"/>
        <v>35.144578313253014</v>
      </c>
      <c r="U7" s="9">
        <f t="shared" si="8"/>
        <v>9.4660927605971668E-2</v>
      </c>
    </row>
    <row r="8" spans="1:21" x14ac:dyDescent="0.35">
      <c r="A8" s="6">
        <v>4</v>
      </c>
      <c r="B8" s="6">
        <v>597</v>
      </c>
      <c r="C8" s="6">
        <v>603</v>
      </c>
      <c r="D8" s="6">
        <v>3000</v>
      </c>
      <c r="E8" s="7">
        <f t="shared" si="1"/>
        <v>0.1</v>
      </c>
      <c r="F8" s="7">
        <f t="shared" si="13"/>
        <v>0.7</v>
      </c>
      <c r="G8" s="7">
        <f t="shared" si="9"/>
        <v>0.4</v>
      </c>
      <c r="H8" s="6">
        <f t="shared" si="2"/>
        <v>2889</v>
      </c>
      <c r="I8" s="7">
        <f t="shared" si="3"/>
        <v>0.10319699946419003</v>
      </c>
      <c r="J8" s="7">
        <f t="shared" si="10"/>
        <v>0.73813180925165212</v>
      </c>
      <c r="K8" s="7">
        <f t="shared" si="11"/>
        <v>0.36867297731737814</v>
      </c>
      <c r="L8" s="6">
        <v>111</v>
      </c>
      <c r="M8" s="7">
        <f t="shared" si="4"/>
        <v>5.5361596009975061E-2</v>
      </c>
      <c r="N8" s="7">
        <f t="shared" si="12"/>
        <v>0.16758104738154614</v>
      </c>
      <c r="O8" s="7">
        <f t="shared" si="0"/>
        <v>0.88778054862842892</v>
      </c>
      <c r="P8" s="8">
        <f t="shared" si="5"/>
        <v>3.6999999999999998E-2</v>
      </c>
      <c r="Q8" s="8">
        <f>+SUM($L$2:L8)/SUM($D$2:D8)</f>
        <v>1.6E-2</v>
      </c>
      <c r="R8" s="8">
        <f>+SUM(L8:$L$11)/SUM(D8:$D$11)</f>
        <v>0.14833333333333334</v>
      </c>
      <c r="S8" s="10">
        <f t="shared" si="6"/>
        <v>0.570550761870106</v>
      </c>
      <c r="T8" s="9">
        <f t="shared" si="7"/>
        <v>26.027027027027028</v>
      </c>
      <c r="U8" s="9">
        <f t="shared" si="8"/>
        <v>8.8759713504237253E-2</v>
      </c>
    </row>
    <row r="9" spans="1:21" x14ac:dyDescent="0.35">
      <c r="A9" s="6">
        <v>3</v>
      </c>
      <c r="B9" s="6">
        <v>590</v>
      </c>
      <c r="C9" s="6">
        <v>597</v>
      </c>
      <c r="D9" s="6">
        <v>3000</v>
      </c>
      <c r="E9" s="7">
        <f t="shared" si="1"/>
        <v>0.1</v>
      </c>
      <c r="F9" s="7">
        <f t="shared" si="13"/>
        <v>0.79999999999999993</v>
      </c>
      <c r="G9" s="7">
        <f t="shared" si="9"/>
        <v>0.30000000000000004</v>
      </c>
      <c r="H9" s="6">
        <f t="shared" si="2"/>
        <v>2788</v>
      </c>
      <c r="I9" s="7">
        <f t="shared" si="3"/>
        <v>9.958921235934988E-2</v>
      </c>
      <c r="J9" s="7">
        <f t="shared" si="10"/>
        <v>0.83772102161100204</v>
      </c>
      <c r="K9" s="7">
        <f t="shared" si="11"/>
        <v>0.26908376495802827</v>
      </c>
      <c r="L9" s="6">
        <v>212</v>
      </c>
      <c r="M9" s="7">
        <f t="shared" si="4"/>
        <v>0.1057356608478803</v>
      </c>
      <c r="N9" s="7">
        <f t="shared" si="12"/>
        <v>0.27331670822942644</v>
      </c>
      <c r="O9" s="7">
        <f t="shared" si="0"/>
        <v>0.83241895261845389</v>
      </c>
      <c r="P9" s="8">
        <f t="shared" si="5"/>
        <v>7.0666666666666669E-2</v>
      </c>
      <c r="Q9" s="8">
        <f>+SUM($L$2:L9)/SUM($D$2:D9)</f>
        <v>2.2833333333333334E-2</v>
      </c>
      <c r="R9" s="8">
        <f>+SUM(L9:$L$11)/SUM(D9:$D$11)</f>
        <v>0.18544444444444444</v>
      </c>
      <c r="S9" s="8">
        <f t="shared" si="6"/>
        <v>0.5644043133815756</v>
      </c>
      <c r="T9" s="9">
        <f t="shared" si="7"/>
        <v>13.150943396226415</v>
      </c>
      <c r="U9" s="9">
        <f t="shared" si="8"/>
        <v>7.7634882253198936E-2</v>
      </c>
    </row>
    <row r="10" spans="1:21" x14ac:dyDescent="0.35">
      <c r="A10" s="6">
        <v>2</v>
      </c>
      <c r="B10" s="6">
        <v>563</v>
      </c>
      <c r="C10" s="6">
        <v>590</v>
      </c>
      <c r="D10" s="6">
        <v>3000</v>
      </c>
      <c r="E10" s="7">
        <f t="shared" si="1"/>
        <v>0.1</v>
      </c>
      <c r="F10" s="7">
        <f t="shared" si="13"/>
        <v>0.89999999999999991</v>
      </c>
      <c r="G10" s="7">
        <f t="shared" si="9"/>
        <v>0.20000000000000004</v>
      </c>
      <c r="H10" s="6">
        <f t="shared" si="2"/>
        <v>2610</v>
      </c>
      <c r="I10" s="7">
        <f t="shared" si="3"/>
        <v>9.3230934095374168E-2</v>
      </c>
      <c r="J10" s="7">
        <f t="shared" si="10"/>
        <v>0.93095195570637623</v>
      </c>
      <c r="K10" s="7">
        <f t="shared" si="11"/>
        <v>0.1758528308626541</v>
      </c>
      <c r="L10" s="6">
        <v>390</v>
      </c>
      <c r="M10" s="7">
        <f t="shared" si="4"/>
        <v>0.19451371571072318</v>
      </c>
      <c r="N10" s="7">
        <f t="shared" si="12"/>
        <v>0.46783042394014962</v>
      </c>
      <c r="O10" s="7">
        <f>+O11+M10</f>
        <v>0.72668329177057356</v>
      </c>
      <c r="P10" s="8">
        <f t="shared" si="5"/>
        <v>0.13</v>
      </c>
      <c r="Q10" s="8">
        <f>+SUM($L$2:L10)/SUM($D$2:D10)</f>
        <v>3.4740740740740739E-2</v>
      </c>
      <c r="R10" s="8">
        <f>+SUM(L10:$L$11)/SUM(D10:$D$11)</f>
        <v>0.24283333333333335</v>
      </c>
      <c r="S10" s="8">
        <f t="shared" si="6"/>
        <v>0.46312153176622661</v>
      </c>
      <c r="T10" s="9">
        <f t="shared" si="7"/>
        <v>6.6923076923076925</v>
      </c>
      <c r="U10" s="9">
        <f t="shared" si="8"/>
        <v>5.8682014378235517E-2</v>
      </c>
    </row>
    <row r="11" spans="1:21" x14ac:dyDescent="0.35">
      <c r="A11" s="6">
        <v>1</v>
      </c>
      <c r="B11" s="6">
        <v>439</v>
      </c>
      <c r="C11" s="6">
        <v>563</v>
      </c>
      <c r="D11" s="6">
        <v>3000</v>
      </c>
      <c r="E11" s="7">
        <f t="shared" si="1"/>
        <v>0.1</v>
      </c>
      <c r="F11" s="7">
        <f t="shared" si="13"/>
        <v>0.99999999999999989</v>
      </c>
      <c r="G11" s="7">
        <f t="shared" si="9"/>
        <v>0.10000000000000003</v>
      </c>
      <c r="H11" s="6">
        <f t="shared" si="2"/>
        <v>1933</v>
      </c>
      <c r="I11" s="7">
        <f t="shared" si="3"/>
        <v>6.9048044293623864E-2</v>
      </c>
      <c r="J11" s="7">
        <f t="shared" si="10"/>
        <v>1</v>
      </c>
      <c r="K11" s="7">
        <f t="shared" si="11"/>
        <v>0.10680478656903024</v>
      </c>
      <c r="L11" s="6">
        <v>1067</v>
      </c>
      <c r="M11" s="7">
        <f t="shared" si="4"/>
        <v>0.53216957605985038</v>
      </c>
      <c r="N11" s="7">
        <f t="shared" si="12"/>
        <v>1</v>
      </c>
      <c r="O11" s="7">
        <f>+M11</f>
        <v>0.53216957605985038</v>
      </c>
      <c r="P11" s="8">
        <f t="shared" si="5"/>
        <v>0.35566666666666669</v>
      </c>
      <c r="Q11" s="8">
        <f>+SUM($L$2:L11)/SUM($D$2:D11)</f>
        <v>6.6833333333333328E-2</v>
      </c>
      <c r="R11" s="8">
        <f>+SUM(L11:$L$11)/SUM(D11:$D$11)</f>
        <v>0.35566666666666669</v>
      </c>
      <c r="S11" s="8">
        <f>+J11-N11</f>
        <v>0</v>
      </c>
      <c r="T11" s="9">
        <f t="shared" si="7"/>
        <v>1.8116213683223992</v>
      </c>
      <c r="U11" s="9">
        <f t="shared" si="8"/>
        <v>1.8372634229749791E-2</v>
      </c>
    </row>
    <row r="13" spans="1:21" x14ac:dyDescent="0.35">
      <c r="A13" s="11" t="s">
        <v>77</v>
      </c>
      <c r="B13" s="11" t="s">
        <v>78</v>
      </c>
      <c r="C13" s="11" t="s">
        <v>79</v>
      </c>
      <c r="U13" s="3"/>
    </row>
    <row r="14" spans="1:21" x14ac:dyDescent="0.35">
      <c r="A14" s="8">
        <f>S8</f>
        <v>0.570550761870106</v>
      </c>
      <c r="B14" s="12">
        <f>+SUM(U2:U11)</f>
        <v>0.85550523583878313</v>
      </c>
      <c r="C14" s="8">
        <f>2*B14-1</f>
        <v>0.71101047167756626</v>
      </c>
    </row>
  </sheetData>
  <conditionalFormatting sqref="P2:P11">
    <cfRule type="colorScale" priority="2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T2:T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DE43-D6A8-4C9C-BDDF-48D3AB40CAC7}">
  <dimension ref="A1"/>
  <sheetViews>
    <sheetView workbookViewId="0">
      <selection sqref="A1:A1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>Equifax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Otoniel Ditren</dc:creator>
  <cp:lastModifiedBy>Otoniel Ditren</cp:lastModifiedBy>
  <dcterms:created xsi:type="dcterms:W3CDTF">2026-03-28T20:40:30Z</dcterms:created>
  <dcterms:modified xsi:type="dcterms:W3CDTF">2026-03-30T18:30:07Z</dcterms:modified>
</cp:coreProperties>
</file>